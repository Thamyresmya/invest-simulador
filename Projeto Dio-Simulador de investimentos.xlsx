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d8835db16c891cf/PROJETOS/Excell/"/>
    </mc:Choice>
  </mc:AlternateContent>
  <xr:revisionPtr revIDLastSave="472" documentId="11_AD4D361C20488DEA4E38A0A04CD877F25ADEDD89" xr6:coauthVersionLast="47" xr6:coauthVersionMax="47" xr10:uidLastSave="{51941198-63E0-494E-8D49-AC7161832BF8}"/>
  <bookViews>
    <workbookView xWindow="-120" yWindow="-120" windowWidth="29040" windowHeight="15720" tabRatio="0" xr2:uid="{00000000-000D-0000-FFFF-FFFF00000000}"/>
  </bookViews>
  <sheets>
    <sheet name="APP" sheetId="1" r:id="rId1"/>
    <sheet name="APOIO" sheetId="2" r:id="rId2"/>
  </sheets>
  <definedNames>
    <definedName name="aporte">APP!$D$16</definedName>
    <definedName name="patrimonio">APP!$D$19</definedName>
    <definedName name="qtd_anos">APP!$D$17</definedName>
    <definedName name="rendimento_carteira">APP!$D$12</definedName>
    <definedName name="salario">APP!$D$11</definedName>
    <definedName name="sugestao_investimento">APP!$D$13</definedName>
    <definedName name="taxa_mensal">APP!$D$18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C36" i="1"/>
  <c r="C37" i="1"/>
  <c r="C38" i="1"/>
  <c r="C39" i="1"/>
  <c r="C34" i="1"/>
  <c r="A9" i="2"/>
  <c r="A10" i="2"/>
  <c r="A11" i="2"/>
  <c r="A12" i="2"/>
  <c r="A13" i="2"/>
  <c r="A14" i="2"/>
  <c r="A15" i="2"/>
  <c r="A16" i="2"/>
  <c r="A17" i="2"/>
  <c r="A18" i="2"/>
  <c r="A19" i="2"/>
  <c r="A8" i="2"/>
  <c r="A3" i="2"/>
  <c r="A4" i="2"/>
  <c r="A5" i="2"/>
  <c r="A6" i="2"/>
  <c r="A7" i="2"/>
  <c r="A2" i="2"/>
  <c r="C31" i="1"/>
  <c r="D19" i="1"/>
  <c r="D20" i="1" s="1"/>
  <c r="D13" i="1"/>
  <c r="C24" i="1"/>
  <c r="D24" i="1" s="1"/>
  <c r="C25" i="1"/>
  <c r="D25" i="1" s="1"/>
  <c r="C26" i="1"/>
  <c r="D26" i="1" s="1"/>
  <c r="C27" i="1"/>
  <c r="D27" i="1" s="1"/>
  <c r="C23" i="1"/>
  <c r="D23" i="1" s="1"/>
  <c r="D34" i="1" l="1"/>
  <c r="D39" i="1"/>
  <c r="D38" i="1"/>
  <c r="D37" i="1"/>
  <c r="D36" i="1"/>
  <c r="D35" i="1"/>
  <c r="D40" i="1" l="1"/>
</calcChain>
</file>

<file path=xl/sharedStrings.xml><?xml version="1.0" encoding="utf-8"?>
<sst xmlns="http://schemas.openxmlformats.org/spreadsheetml/2006/main" count="69" uniqueCount="33">
  <si>
    <t>Quanto investir por mês?</t>
  </si>
  <si>
    <t>Taxa de Rendimento mensal?</t>
  </si>
  <si>
    <t>Dividendos Mensais?</t>
  </si>
  <si>
    <t>INVESTIMENTO MENSAL</t>
  </si>
  <si>
    <t>Patrimônio acumulado?</t>
  </si>
  <si>
    <t>Por Quantos Anos?</t>
  </si>
  <si>
    <t>Quantos em 2 Anos?</t>
  </si>
  <si>
    <t>Quantos em 5 Anos?</t>
  </si>
  <si>
    <t>Quantos em 10 Anos?</t>
  </si>
  <si>
    <t>Quantos em 20 Anos?</t>
  </si>
  <si>
    <t>Quantos em 30 Anos?</t>
  </si>
  <si>
    <t>Cenários</t>
  </si>
  <si>
    <t>Dividendo</t>
  </si>
  <si>
    <t>Rendimento  Carteira</t>
  </si>
  <si>
    <t>Salário</t>
  </si>
  <si>
    <t>CONFIGURAÇÕES</t>
  </si>
  <si>
    <t>Conservador</t>
  </si>
  <si>
    <t>Moderado</t>
  </si>
  <si>
    <t>Agressivo</t>
  </si>
  <si>
    <t>VALOR A SER INVESTIDO POR MÊS</t>
  </si>
  <si>
    <t>PERFIL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</si>
  <si>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</si>
  <si>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</si>
  <si>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</si>
  <si>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</si>
  <si>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</si>
  <si>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</si>
  <si>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</si>
  <si>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</si>
  <si>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</si>
  <si>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%</t>
  </si>
  <si>
    <t>CHAVE</t>
  </si>
  <si>
    <t>Sugestão de Invetimento (30%)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</si>
</sst>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6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ptos Narrow"/>
      <family val="2"/>
    </font>
    <font>
      <b/>
      <sz val="11"/>
      <color theme="1"/>
      <name val="Aptos Narrow"/>
      <family val="2"/>
    </font>
    <font>
      <b/>
      <sz val="11"/>
      <color theme="0"/>
      <name val="Aptos Narrow"/>
      <family val="2"/>
    </font>
    <font>
      <b/>
      <sz val="20"/>
      <color theme="0"/>
      <name val="Segoe UI Semibold"/>
      <family val="2"/>
    </font>
    <font>
      <b/>
      <sz val="11"/>
      <color theme="0"/>
      <name val="Segoe UI Semibold"/>
      <family val="2"/>
    </font>
    <font>
      <sz val="12"/>
      <color theme="1"/>
      <name val="Segoe UI"/>
      <family val="2"/>
    </font>
    <font>
      <b/>
      <sz val="11"/>
      <color theme="1"/>
      <name val="Segoe UI"/>
      <family val="2"/>
    </font>
    <font>
      <b/>
      <sz val="12"/>
      <name val="Segoe UI"/>
      <family val="2"/>
    </font>
    <font>
      <b/>
      <sz val="11"/>
      <name val="Segoe UI"/>
      <family val="2"/>
    </font>
    <font>
      <sz val="11"/>
      <color theme="1"/>
      <name val="Segoe UI"/>
      <family val="2"/>
    </font>
    <font>
      <sz val="11"/>
      <color theme="5" tint="-0.24997711111789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7E3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/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/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hair">
        <color theme="0" tint="-0.24994659260841701"/>
      </bottom>
      <diagonal/>
    </border>
    <border>
      <left style="medium">
        <color indexed="64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medium">
        <color indexed="64"/>
      </bottom>
      <diagonal/>
    </border>
    <border>
      <left style="hair">
        <color theme="0" tint="-0.24994659260841701"/>
      </left>
      <right style="medium">
        <color indexed="64"/>
      </right>
      <top style="hair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indexed="64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14996795556505021"/>
      </left>
      <right style="medium">
        <color indexed="64"/>
      </right>
      <top/>
      <bottom style="thin">
        <color theme="0" tint="-0.14996795556505021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5" fillId="0" borderId="0" xfId="0" applyFont="1"/>
    <xf numFmtId="0" fontId="4" fillId="0" borderId="0" xfId="0" applyFon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left" indent="2"/>
    </xf>
    <xf numFmtId="0" fontId="5" fillId="0" borderId="0" xfId="0" applyFont="1" applyAlignment="1">
      <alignment horizontal="left" indent="2"/>
    </xf>
    <xf numFmtId="0" fontId="8" fillId="2" borderId="1" xfId="0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indent="2"/>
    </xf>
    <xf numFmtId="8" fontId="14" fillId="3" borderId="6" xfId="0" applyNumberFormat="1" applyFont="1" applyFill="1" applyBorder="1" applyAlignment="1">
      <alignment horizontal="center" vertical="center"/>
    </xf>
    <xf numFmtId="8" fontId="14" fillId="3" borderId="7" xfId="0" applyNumberFormat="1" applyFont="1" applyFill="1" applyBorder="1" applyAlignment="1">
      <alignment horizontal="center" vertical="center"/>
    </xf>
    <xf numFmtId="0" fontId="10" fillId="3" borderId="8" xfId="0" applyFont="1" applyFill="1" applyBorder="1" applyAlignment="1">
      <alignment horizontal="left" indent="2"/>
    </xf>
    <xf numFmtId="8" fontId="14" fillId="3" borderId="9" xfId="0" applyNumberFormat="1" applyFont="1" applyFill="1" applyBorder="1" applyAlignment="1">
      <alignment horizontal="center" vertical="center"/>
    </xf>
    <xf numFmtId="8" fontId="14" fillId="3" borderId="10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left" indent="2"/>
    </xf>
    <xf numFmtId="8" fontId="14" fillId="3" borderId="12" xfId="0" applyNumberFormat="1" applyFont="1" applyFill="1" applyBorder="1" applyAlignment="1">
      <alignment horizontal="center" vertical="center"/>
    </xf>
    <xf numFmtId="8" fontId="14" fillId="3" borderId="13" xfId="0" applyNumberFormat="1" applyFont="1" applyFill="1" applyBorder="1" applyAlignment="1">
      <alignment horizontal="center" vertical="center"/>
    </xf>
    <xf numFmtId="0" fontId="10" fillId="6" borderId="14" xfId="0" applyFont="1" applyFill="1" applyBorder="1" applyAlignment="1">
      <alignment horizontal="left" indent="2"/>
    </xf>
    <xf numFmtId="0" fontId="10" fillId="6" borderId="15" xfId="0" applyFont="1" applyFill="1" applyBorder="1" applyAlignment="1">
      <alignment horizontal="left" indent="2"/>
    </xf>
    <xf numFmtId="0" fontId="10" fillId="6" borderId="16" xfId="0" applyFont="1" applyFill="1" applyBorder="1" applyAlignment="1">
      <alignment horizontal="left" indent="2"/>
    </xf>
    <xf numFmtId="0" fontId="10" fillId="6" borderId="17" xfId="0" applyFont="1" applyFill="1" applyBorder="1" applyAlignment="1">
      <alignment horizontal="left" indent="2"/>
    </xf>
    <xf numFmtId="0" fontId="11" fillId="0" borderId="18" xfId="0" applyFont="1" applyBorder="1" applyAlignment="1">
      <alignment horizontal="center" vertical="center"/>
    </xf>
    <xf numFmtId="10" fontId="11" fillId="0" borderId="18" xfId="0" applyNumberFormat="1" applyFont="1" applyBorder="1" applyAlignment="1">
      <alignment horizontal="center" vertical="center"/>
    </xf>
    <xf numFmtId="0" fontId="12" fillId="3" borderId="16" xfId="0" applyFont="1" applyFill="1" applyBorder="1" applyAlignment="1">
      <alignment horizontal="left" indent="2"/>
    </xf>
    <xf numFmtId="0" fontId="12" fillId="3" borderId="17" xfId="0" applyFont="1" applyFill="1" applyBorder="1" applyAlignment="1">
      <alignment horizontal="left" indent="2"/>
    </xf>
    <xf numFmtId="8" fontId="13" fillId="3" borderId="18" xfId="0" applyNumberFormat="1" applyFont="1" applyFill="1" applyBorder="1" applyAlignment="1">
      <alignment horizontal="center" vertical="center"/>
    </xf>
    <xf numFmtId="0" fontId="12" fillId="3" borderId="19" xfId="0" applyFont="1" applyFill="1" applyBorder="1" applyAlignment="1">
      <alignment horizontal="left" indent="2"/>
    </xf>
    <xf numFmtId="0" fontId="12" fillId="3" borderId="20" xfId="0" applyFont="1" applyFill="1" applyBorder="1" applyAlignment="1">
      <alignment horizontal="left" indent="2"/>
    </xf>
    <xf numFmtId="8" fontId="13" fillId="3" borderId="21" xfId="0" applyNumberFormat="1" applyFont="1" applyFill="1" applyBorder="1" applyAlignment="1">
      <alignment horizontal="center" vertical="center"/>
    </xf>
    <xf numFmtId="0" fontId="10" fillId="5" borderId="22" xfId="0" applyFont="1" applyFill="1" applyBorder="1" applyAlignment="1">
      <alignment horizontal="left" indent="2"/>
    </xf>
    <xf numFmtId="0" fontId="10" fillId="5" borderId="23" xfId="0" applyFont="1" applyFill="1" applyBorder="1" applyAlignment="1">
      <alignment horizontal="left" indent="2"/>
    </xf>
    <xf numFmtId="166" fontId="14" fillId="0" borderId="24" xfId="0" applyNumberFormat="1" applyFont="1" applyBorder="1" applyAlignment="1">
      <alignment horizontal="center" vertical="center"/>
    </xf>
    <xf numFmtId="0" fontId="10" fillId="5" borderId="25" xfId="0" applyFont="1" applyFill="1" applyBorder="1" applyAlignment="1">
      <alignment horizontal="left" indent="2"/>
    </xf>
    <xf numFmtId="0" fontId="10" fillId="5" borderId="26" xfId="0" applyFont="1" applyFill="1" applyBorder="1" applyAlignment="1">
      <alignment horizontal="left" indent="2"/>
    </xf>
    <xf numFmtId="10" fontId="14" fillId="0" borderId="27" xfId="0" applyNumberFormat="1" applyFont="1" applyBorder="1" applyAlignment="1">
      <alignment horizontal="center" vertical="center"/>
    </xf>
    <xf numFmtId="0" fontId="10" fillId="5" borderId="28" xfId="0" applyFont="1" applyFill="1" applyBorder="1" applyAlignment="1">
      <alignment horizontal="left" indent="2"/>
    </xf>
    <xf numFmtId="0" fontId="10" fillId="5" borderId="29" xfId="0" applyFont="1" applyFill="1" applyBorder="1" applyAlignment="1">
      <alignment horizontal="left" indent="2"/>
    </xf>
    <xf numFmtId="166" fontId="14" fillId="6" borderId="30" xfId="0" applyNumberFormat="1" applyFont="1" applyFill="1" applyBorder="1" applyAlignment="1">
      <alignment horizontal="center" vertical="center"/>
    </xf>
    <xf numFmtId="166" fontId="11" fillId="0" borderId="31" xfId="1" applyNumberFormat="1" applyFont="1" applyBorder="1" applyAlignment="1">
      <alignment horizontal="center" vertical="center"/>
    </xf>
    <xf numFmtId="0" fontId="0" fillId="7" borderId="0" xfId="0" applyFill="1"/>
    <xf numFmtId="0" fontId="15" fillId="7" borderId="0" xfId="0" applyFont="1" applyFill="1" applyAlignment="1">
      <alignment horizontal="left"/>
    </xf>
    <xf numFmtId="0" fontId="0" fillId="0" borderId="0" xfId="0" applyAlignment="1">
      <alignment horizontal="left"/>
    </xf>
    <xf numFmtId="166" fontId="0" fillId="6" borderId="0" xfId="0" applyNumberFormat="1" applyFill="1" applyAlignment="1">
      <alignment horizontal="center" vertical="center"/>
    </xf>
    <xf numFmtId="0" fontId="15" fillId="7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166" fontId="3" fillId="6" borderId="0" xfId="0" applyNumberFormat="1" applyFont="1" applyFill="1" applyAlignment="1">
      <alignment horizontal="center" vertical="center"/>
    </xf>
    <xf numFmtId="0" fontId="3" fillId="6" borderId="0" xfId="0" applyFont="1" applyFill="1"/>
    <xf numFmtId="0" fontId="2" fillId="8" borderId="0" xfId="0" applyFont="1" applyFill="1" applyAlignment="1">
      <alignment horizontal="center" vertical="center"/>
    </xf>
    <xf numFmtId="166" fontId="2" fillId="8" borderId="0" xfId="0" applyNumberFormat="1" applyFont="1" applyFill="1" applyAlignment="1">
      <alignment horizontal="center" vertical="center"/>
    </xf>
    <xf numFmtId="0" fontId="7" fillId="8" borderId="0" xfId="0" applyFont="1" applyFill="1" applyAlignment="1">
      <alignment horizontal="center" vertical="center"/>
    </xf>
    <xf numFmtId="0" fontId="0" fillId="0" borderId="4" xfId="0" applyBorder="1"/>
    <xf numFmtId="0" fontId="5" fillId="0" borderId="4" xfId="0" applyFont="1" applyBorder="1" applyAlignment="1">
      <alignment horizontal="center"/>
    </xf>
    <xf numFmtId="9" fontId="0" fillId="0" borderId="4" xfId="0" applyNumberFormat="1" applyBorder="1" applyAlignment="1">
      <alignment horizontal="center" vertical="center"/>
    </xf>
    <xf numFmtId="0" fontId="7" fillId="9" borderId="0" xfId="0" applyFont="1" applyFill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colors>
    <mruColors>
      <color rgb="FF007E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1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1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/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2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2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/>
            </c:spPr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3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3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/>
            </c:spPr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4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4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4">
                    <a:shade val="95000"/>
                  </a:schemeClr>
                </a:solidFill>
                <a:round/>
              </a:ln>
              <a:effectLst/>
            </c:spPr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5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5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5">
                    <a:shade val="95000"/>
                  </a:schemeClr>
                </a:solidFill>
                <a:round/>
              </a:ln>
              <a:effectLst/>
            </c:spPr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lumMod val="110000"/>
                      <a:satMod val="105000"/>
                      <a:tint val="67000"/>
                    </a:schemeClr>
                  </a:gs>
                  <a:gs pos="50000">
                    <a:schemeClr val="accent6">
                      <a:lumMod val="105000"/>
                      <a:satMod val="103000"/>
                      <a:tint val="73000"/>
                    </a:schemeClr>
                  </a:gs>
                  <a:gs pos="100000">
                    <a:schemeClr val="accent6"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accent6">
                    <a:shade val="95000"/>
                  </a:schemeClr>
                </a:solidFill>
                <a:round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APP!$B$34:$B$39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APP!$C$34:$C$39</c:f>
              <c:numCache>
                <c:formatCode>0%</c:formatCode>
                <c:ptCount val="6"/>
                <c:pt idx="0">
                  <c:v>0.5</c:v>
                </c:pt>
                <c:pt idx="1">
                  <c:v>0.1</c:v>
                </c:pt>
                <c:pt idx="2">
                  <c:v>0.05</c:v>
                </c:pt>
                <c:pt idx="3">
                  <c:v>0.05</c:v>
                </c:pt>
                <c:pt idx="4">
                  <c:v>0.2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06-4D74-A0B1-C12D78F31A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4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/>
    <cs:fillRef idx="2">
      <cs:styleClr val="auto"/>
    </cs:fillRef>
    <cs:effectRef idx="1"/>
    <cs:fontRef idx="minor">
      <a:schemeClr val="dk1"/>
    </cs:fontRef>
    <cs:spPr/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</xdr:colOff>
      <xdr:row>0</xdr:row>
      <xdr:rowOff>0</xdr:rowOff>
    </xdr:from>
    <xdr:to>
      <xdr:col>4</xdr:col>
      <xdr:colOff>9525</xdr:colOff>
      <xdr:row>7</xdr:row>
      <xdr:rowOff>152399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11E745D-6B2F-5E34-7B45-079C4C45E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5776" y="0"/>
          <a:ext cx="5381624" cy="1485899"/>
        </a:xfrm>
        <a:prstGeom prst="rect">
          <a:avLst/>
        </a:prstGeom>
      </xdr:spPr>
    </xdr:pic>
    <xdr:clientData/>
  </xdr:twoCellAnchor>
  <xdr:twoCellAnchor>
    <xdr:from>
      <xdr:col>0</xdr:col>
      <xdr:colOff>476250</xdr:colOff>
      <xdr:row>40</xdr:row>
      <xdr:rowOff>14287</xdr:rowOff>
    </xdr:from>
    <xdr:to>
      <xdr:col>3</xdr:col>
      <xdr:colOff>1181100</xdr:colOff>
      <xdr:row>54</xdr:row>
      <xdr:rowOff>90487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A7F146A-56E1-962A-CDD9-A5033E009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showGridLines="0" showRowColHeaders="0" tabSelected="1" zoomScale="85" zoomScaleNormal="85" workbookViewId="0">
      <selection activeCell="F34" sqref="F34"/>
    </sheetView>
  </sheetViews>
  <sheetFormatPr defaultColWidth="0" defaultRowHeight="15" zeroHeight="1" x14ac:dyDescent="0.25"/>
  <cols>
    <col min="1" max="1" width="7.28515625" customWidth="1"/>
    <col min="2" max="2" width="31.42578125" style="5" customWidth="1"/>
    <col min="3" max="3" width="31.28515625" bestFit="1" customWidth="1"/>
    <col min="4" max="4" width="17.85546875" customWidth="1"/>
    <col min="5" max="5" width="4.85546875" customWidth="1"/>
    <col min="6" max="6" width="10.7109375" style="3" bestFit="1" customWidth="1"/>
    <col min="7" max="8" width="9.140625" hidden="1" customWidth="1"/>
    <col min="9" max="9" width="8" hidden="1" customWidth="1"/>
    <col min="10" max="11" width="9.140625" hidden="1" customWidth="1"/>
    <col min="12" max="16384" width="9.140625" hidden="1"/>
  </cols>
  <sheetData>
    <row r="1" spans="2:4" x14ac:dyDescent="0.25"/>
    <row r="2" spans="2:4" x14ac:dyDescent="0.25"/>
    <row r="3" spans="2:4" x14ac:dyDescent="0.25"/>
    <row r="4" spans="2:4" x14ac:dyDescent="0.25"/>
    <row r="5" spans="2:4" x14ac:dyDescent="0.25"/>
    <row r="6" spans="2:4" x14ac:dyDescent="0.25"/>
    <row r="7" spans="2:4" x14ac:dyDescent="0.25"/>
    <row r="8" spans="2:4" x14ac:dyDescent="0.25"/>
    <row r="9" spans="2:4" ht="15.75" thickBot="1" x14ac:dyDescent="0.3"/>
    <row r="10" spans="2:4" ht="30.75" x14ac:dyDescent="0.25">
      <c r="B10" s="11" t="s">
        <v>15</v>
      </c>
      <c r="C10" s="12"/>
      <c r="D10" s="13"/>
    </row>
    <row r="11" spans="2:4" ht="17.25" x14ac:dyDescent="0.3">
      <c r="B11" s="35" t="s">
        <v>14</v>
      </c>
      <c r="C11" s="36"/>
      <c r="D11" s="37">
        <v>2000</v>
      </c>
    </row>
    <row r="12" spans="2:4" ht="17.25" x14ac:dyDescent="0.3">
      <c r="B12" s="38" t="s">
        <v>13</v>
      </c>
      <c r="C12" s="39"/>
      <c r="D12" s="40">
        <v>6.0000000000000001E-3</v>
      </c>
    </row>
    <row r="13" spans="2:4" ht="18" thickBot="1" x14ac:dyDescent="0.35">
      <c r="B13" s="41" t="s">
        <v>32</v>
      </c>
      <c r="C13" s="42"/>
      <c r="D13" s="43">
        <f>D11*30%</f>
        <v>600</v>
      </c>
    </row>
    <row r="14" spans="2:4" ht="15.75" thickBot="1" x14ac:dyDescent="0.3"/>
    <row r="15" spans="2:4" ht="37.5" customHeight="1" x14ac:dyDescent="0.25">
      <c r="B15" s="7" t="s">
        <v>3</v>
      </c>
      <c r="C15" s="8"/>
      <c r="D15" s="9"/>
    </row>
    <row r="16" spans="2:4" ht="17.25" x14ac:dyDescent="0.3">
      <c r="B16" s="23" t="s">
        <v>0</v>
      </c>
      <c r="C16" s="24"/>
      <c r="D16" s="44">
        <v>200</v>
      </c>
    </row>
    <row r="17" spans="1:6" ht="17.25" x14ac:dyDescent="0.3">
      <c r="B17" s="25" t="s">
        <v>5</v>
      </c>
      <c r="C17" s="26"/>
      <c r="D17" s="27">
        <v>5</v>
      </c>
    </row>
    <row r="18" spans="1:6" ht="17.25" x14ac:dyDescent="0.3">
      <c r="B18" s="25" t="s">
        <v>1</v>
      </c>
      <c r="C18" s="26"/>
      <c r="D18" s="28">
        <v>1.0789999999999999E-2</v>
      </c>
    </row>
    <row r="19" spans="1:6" ht="17.25" x14ac:dyDescent="0.3">
      <c r="B19" s="29" t="s">
        <v>4</v>
      </c>
      <c r="C19" s="30"/>
      <c r="D19" s="31">
        <f>FV(taxa_mensal,qtd_anos*12,aporte*-1)</f>
        <v>16755.382799697527</v>
      </c>
    </row>
    <row r="20" spans="1:6" ht="18" thickBot="1" x14ac:dyDescent="0.35">
      <c r="B20" s="32" t="s">
        <v>2</v>
      </c>
      <c r="C20" s="33"/>
      <c r="D20" s="34">
        <f>patrimonio*rendimento_carteira</f>
        <v>100.53229679818516</v>
      </c>
    </row>
    <row r="21" spans="1:6" ht="15.75" thickBot="1" x14ac:dyDescent="0.3">
      <c r="B21" s="6"/>
      <c r="C21" s="1"/>
      <c r="D21" s="1"/>
    </row>
    <row r="22" spans="1:6" ht="30.75" x14ac:dyDescent="0.25">
      <c r="B22" s="7" t="s">
        <v>11</v>
      </c>
      <c r="C22" s="8"/>
      <c r="D22" s="10" t="s">
        <v>12</v>
      </c>
      <c r="F22" s="4"/>
    </row>
    <row r="23" spans="1:6" ht="17.25" x14ac:dyDescent="0.3">
      <c r="A23" s="2">
        <v>2</v>
      </c>
      <c r="B23" s="14" t="s">
        <v>6</v>
      </c>
      <c r="C23" s="15">
        <f>FV($D$18,$A23*12,$D$16*-1)</f>
        <v>5445.5254595290435</v>
      </c>
      <c r="D23" s="16">
        <f>C23*rendimento_carteira</f>
        <v>32.673152757174265</v>
      </c>
    </row>
    <row r="24" spans="1:6" ht="17.25" x14ac:dyDescent="0.3">
      <c r="A24" s="2">
        <v>5</v>
      </c>
      <c r="B24" s="17" t="s">
        <v>7</v>
      </c>
      <c r="C24" s="18">
        <f>FV($D$18,$A24*12,$D$16*-1)</f>
        <v>16755.382799697527</v>
      </c>
      <c r="D24" s="19">
        <f>C24*rendimento_carteira</f>
        <v>100.53229679818516</v>
      </c>
    </row>
    <row r="25" spans="1:6" ht="17.25" x14ac:dyDescent="0.3">
      <c r="A25" s="2">
        <v>10</v>
      </c>
      <c r="B25" s="17" t="s">
        <v>8</v>
      </c>
      <c r="C25" s="18">
        <f>FV($D$18,$A25*12,$D$16*-1)</f>
        <v>48656.842506034438</v>
      </c>
      <c r="D25" s="19">
        <f>C25*rendimento_carteira</f>
        <v>291.94105503620665</v>
      </c>
    </row>
    <row r="26" spans="1:6" ht="17.25" x14ac:dyDescent="0.3">
      <c r="A26" s="2">
        <v>20</v>
      </c>
      <c r="B26" s="17" t="s">
        <v>9</v>
      </c>
      <c r="C26" s="18">
        <f>FV($D$18,$A26*12,$D$16*-1)</f>
        <v>225039.68001941612</v>
      </c>
      <c r="D26" s="19">
        <f>C26*rendimento_carteira</f>
        <v>1350.2380801164968</v>
      </c>
    </row>
    <row r="27" spans="1:6" ht="18" thickBot="1" x14ac:dyDescent="0.35">
      <c r="A27" s="2">
        <v>30</v>
      </c>
      <c r="B27" s="20" t="s">
        <v>10</v>
      </c>
      <c r="C27" s="21">
        <f>FV($D$18,$A27*12,$D$16*-1)</f>
        <v>864433.93100094295</v>
      </c>
      <c r="D27" s="22">
        <f>C27*rendimento_carteira</f>
        <v>5186.6035860056581</v>
      </c>
    </row>
    <row r="28" spans="1:6" x14ac:dyDescent="0.25"/>
    <row r="29" spans="1:6" x14ac:dyDescent="0.25"/>
    <row r="30" spans="1:6" x14ac:dyDescent="0.25">
      <c r="B30" s="46" t="s">
        <v>20</v>
      </c>
      <c r="C30" s="49" t="s">
        <v>18</v>
      </c>
      <c r="D30" s="45"/>
    </row>
    <row r="31" spans="1:6" x14ac:dyDescent="0.25">
      <c r="B31" s="50" t="s">
        <v>19</v>
      </c>
      <c r="C31" s="53">
        <f>aporte</f>
        <v>200</v>
      </c>
      <c r="D31" s="54"/>
    </row>
    <row r="32" spans="1:6" x14ac:dyDescent="0.25">
      <c r="B32"/>
    </row>
    <row r="33" spans="2:4" x14ac:dyDescent="0.25">
      <c r="B33" s="57" t="s">
        <v>21</v>
      </c>
      <c r="C33" s="55" t="s">
        <v>22</v>
      </c>
      <c r="D33" s="55" t="s">
        <v>23</v>
      </c>
    </row>
    <row r="34" spans="2:4" x14ac:dyDescent="0.25">
      <c r="B34" s="52" t="s">
        <v>24</v>
      </c>
      <c r="C34" s="4">
        <f>VLOOKUP($C$30&amp;"-"&amp;B34,APOIO!$A:$D,4,FALSE)</f>
        <v>0.5</v>
      </c>
      <c r="D34" s="48">
        <f>C34*$C$31</f>
        <v>100</v>
      </c>
    </row>
    <row r="35" spans="2:4" x14ac:dyDescent="0.25">
      <c r="B35" s="52" t="s">
        <v>25</v>
      </c>
      <c r="C35" s="4">
        <f>VLOOKUP($C$30&amp;"-"&amp;B35,APOIO!$A:$D,4,FALSE)</f>
        <v>0.1</v>
      </c>
      <c r="D35" s="48">
        <f t="shared" ref="D35:D39" si="0">C35*$C$31</f>
        <v>20</v>
      </c>
    </row>
    <row r="36" spans="2:4" x14ac:dyDescent="0.25">
      <c r="B36" s="52" t="s">
        <v>26</v>
      </c>
      <c r="C36" s="4">
        <f>VLOOKUP($C$30&amp;"-"&amp;B36,APOIO!$A:$D,4,FALSE)</f>
        <v>0.05</v>
      </c>
      <c r="D36" s="48">
        <f t="shared" si="0"/>
        <v>10</v>
      </c>
    </row>
    <row r="37" spans="2:4" x14ac:dyDescent="0.25">
      <c r="B37" s="52" t="s">
        <v>27</v>
      </c>
      <c r="C37" s="4">
        <f>VLOOKUP($C$30&amp;"-"&amp;B37,APOIO!$A:$D,4,FALSE)</f>
        <v>0.05</v>
      </c>
      <c r="D37" s="48">
        <f t="shared" si="0"/>
        <v>10</v>
      </c>
    </row>
    <row r="38" spans="2:4" x14ac:dyDescent="0.25">
      <c r="B38" s="51" t="s">
        <v>28</v>
      </c>
      <c r="C38" s="4">
        <f>VLOOKUP($C$30&amp;"-"&amp;B38,APOIO!$A:$D,4,FALSE)</f>
        <v>0.2</v>
      </c>
      <c r="D38" s="48">
        <f t="shared" si="0"/>
        <v>40</v>
      </c>
    </row>
    <row r="39" spans="2:4" x14ac:dyDescent="0.25">
      <c r="B39" s="51" t="s">
        <v>29</v>
      </c>
      <c r="C39" s="4">
        <f>VLOOKUP($C$30&amp;"-"&amp;B39,APOIO!$A:$D,4,FALSE)</f>
        <v>0.1</v>
      </c>
      <c r="D39" s="48">
        <f t="shared" si="0"/>
        <v>20</v>
      </c>
    </row>
    <row r="40" spans="2:4" x14ac:dyDescent="0.25">
      <c r="B40" s="55"/>
      <c r="C40" s="55"/>
      <c r="D40" s="56">
        <f>SUM(D34:D39)</f>
        <v>200</v>
      </c>
    </row>
    <row r="41" spans="2:4" x14ac:dyDescent="0.25">
      <c r="B41" s="47"/>
    </row>
    <row r="42" spans="2:4" x14ac:dyDescent="0.25"/>
    <row r="43" spans="2:4" x14ac:dyDescent="0.25"/>
    <row r="44" spans="2:4" x14ac:dyDescent="0.25"/>
    <row r="45" spans="2:4" x14ac:dyDescent="0.25"/>
    <row r="46" spans="2:4" x14ac:dyDescent="0.25"/>
    <row r="47" spans="2:4" x14ac:dyDescent="0.25"/>
    <row r="48" spans="2:4" x14ac:dyDescent="0.25"/>
    <row r="49" x14ac:dyDescent="0.25"/>
    <row r="50" x14ac:dyDescent="0.25"/>
    <row r="51" x14ac:dyDescent="0.25"/>
    <row r="52" x14ac:dyDescent="0.25"/>
    <row r="53" x14ac:dyDescent="0.25"/>
    <row r="54" x14ac:dyDescent="0.25"/>
    <row r="55" x14ac:dyDescent="0.25"/>
    <row r="56" x14ac:dyDescent="0.25"/>
  </sheetData>
  <mergeCells count="11">
    <mergeCell ref="B11:C11"/>
    <mergeCell ref="B12:C12"/>
    <mergeCell ref="B13:C13"/>
    <mergeCell ref="B15:D15"/>
    <mergeCell ref="B22:C22"/>
    <mergeCell ref="B10:D10"/>
    <mergeCell ref="B16:C16"/>
    <mergeCell ref="B17:C17"/>
    <mergeCell ref="B18:C18"/>
    <mergeCell ref="B19:C19"/>
    <mergeCell ref="B20:C20"/>
  </mergeCells>
  <dataValidations count="1">
    <dataValidation type="list" allowBlank="1" showInputMessage="1" showErrorMessage="1" sqref="C30" xr:uid="{27238CB3-0B97-4DA5-9AA6-FFE9E152F942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75F58-0B26-473D-98F9-00D060915064}">
  <dimension ref="A1:D19"/>
  <sheetViews>
    <sheetView showGridLines="0" workbookViewId="0">
      <selection activeCell="I10" sqref="I10"/>
    </sheetView>
  </sheetViews>
  <sheetFormatPr defaultRowHeight="15" x14ac:dyDescent="0.25"/>
  <cols>
    <col min="1" max="1" width="31.28515625" bestFit="1" customWidth="1"/>
    <col min="2" max="2" width="12.140625" bestFit="1" customWidth="1"/>
    <col min="3" max="3" width="18.5703125" bestFit="1" customWidth="1"/>
    <col min="4" max="4" width="9.140625" style="3"/>
  </cols>
  <sheetData>
    <row r="1" spans="1:4" x14ac:dyDescent="0.25">
      <c r="A1" s="61" t="s">
        <v>31</v>
      </c>
      <c r="B1" s="61" t="s">
        <v>20</v>
      </c>
      <c r="C1" s="61" t="s">
        <v>21</v>
      </c>
      <c r="D1" s="61" t="s">
        <v>30</v>
      </c>
    </row>
    <row r="2" spans="1:4" x14ac:dyDescent="0.25">
      <c r="A2" t="str">
        <f>B2&amp;"-"&amp;C2</f>
        <v>Conservador-PAPEL</v>
      </c>
      <c r="B2" t="s">
        <v>16</v>
      </c>
      <c r="C2" s="52" t="s">
        <v>24</v>
      </c>
      <c r="D2" s="4">
        <v>0.3</v>
      </c>
    </row>
    <row r="3" spans="1:4" x14ac:dyDescent="0.25">
      <c r="A3" t="str">
        <f t="shared" ref="A3:A19" si="0">B3&amp;"-"&amp;C3</f>
        <v>Conservador-TIJOLO</v>
      </c>
      <c r="B3" t="s">
        <v>16</v>
      </c>
      <c r="C3" s="52" t="s">
        <v>25</v>
      </c>
      <c r="D3" s="4">
        <v>0.5</v>
      </c>
    </row>
    <row r="4" spans="1:4" x14ac:dyDescent="0.25">
      <c r="A4" t="str">
        <f t="shared" si="0"/>
        <v>Conservador-HÍBRIDOS</v>
      </c>
      <c r="B4" t="s">
        <v>16</v>
      </c>
      <c r="C4" s="52" t="s">
        <v>26</v>
      </c>
      <c r="D4" s="4">
        <v>0.1</v>
      </c>
    </row>
    <row r="5" spans="1:4" x14ac:dyDescent="0.25">
      <c r="A5" t="str">
        <f t="shared" si="0"/>
        <v>Conservador-FOFs</v>
      </c>
      <c r="B5" t="s">
        <v>16</v>
      </c>
      <c r="C5" s="52" t="s">
        <v>27</v>
      </c>
      <c r="D5" s="4">
        <v>0.1</v>
      </c>
    </row>
    <row r="6" spans="1:4" x14ac:dyDescent="0.25">
      <c r="A6" t="str">
        <f t="shared" si="0"/>
        <v>Conservador-DESENVOLVIMENTO</v>
      </c>
      <c r="B6" t="s">
        <v>16</v>
      </c>
      <c r="C6" s="51" t="s">
        <v>28</v>
      </c>
      <c r="D6" s="4">
        <v>0</v>
      </c>
    </row>
    <row r="7" spans="1:4" ht="15.75" thickBot="1" x14ac:dyDescent="0.3">
      <c r="A7" s="58" t="str">
        <f t="shared" si="0"/>
        <v>Conservador-HOTELARIAS</v>
      </c>
      <c r="B7" s="58" t="s">
        <v>16</v>
      </c>
      <c r="C7" s="59" t="s">
        <v>29</v>
      </c>
      <c r="D7" s="60">
        <v>0</v>
      </c>
    </row>
    <row r="8" spans="1:4" x14ac:dyDescent="0.25">
      <c r="A8" t="str">
        <f t="shared" si="0"/>
        <v>Moderado-PAPEL</v>
      </c>
      <c r="B8" t="s">
        <v>17</v>
      </c>
      <c r="C8" s="52" t="s">
        <v>24</v>
      </c>
      <c r="D8" s="4">
        <v>0.32</v>
      </c>
    </row>
    <row r="9" spans="1:4" x14ac:dyDescent="0.25">
      <c r="A9" t="str">
        <f t="shared" si="0"/>
        <v>Moderado-TIJOLO</v>
      </c>
      <c r="B9" t="s">
        <v>17</v>
      </c>
      <c r="C9" s="52" t="s">
        <v>25</v>
      </c>
      <c r="D9" s="4">
        <v>0.35</v>
      </c>
    </row>
    <row r="10" spans="1:4" x14ac:dyDescent="0.25">
      <c r="A10" t="str">
        <f t="shared" si="0"/>
        <v>Moderado-HÍBRIDOS</v>
      </c>
      <c r="B10" t="s">
        <v>17</v>
      </c>
      <c r="C10" s="52" t="s">
        <v>26</v>
      </c>
      <c r="D10" s="4">
        <v>0.08</v>
      </c>
    </row>
    <row r="11" spans="1:4" x14ac:dyDescent="0.25">
      <c r="A11" t="str">
        <f t="shared" si="0"/>
        <v>Moderado-FOFs</v>
      </c>
      <c r="B11" t="s">
        <v>17</v>
      </c>
      <c r="C11" s="52" t="s">
        <v>27</v>
      </c>
      <c r="D11" s="4">
        <v>0.05</v>
      </c>
    </row>
    <row r="12" spans="1:4" x14ac:dyDescent="0.25">
      <c r="A12" t="str">
        <f t="shared" si="0"/>
        <v>Moderado-DESENVOLVIMENTO</v>
      </c>
      <c r="B12" t="s">
        <v>17</v>
      </c>
      <c r="C12" s="51" t="s">
        <v>28</v>
      </c>
      <c r="D12" s="4">
        <v>0.1</v>
      </c>
    </row>
    <row r="13" spans="1:4" ht="15.75" thickBot="1" x14ac:dyDescent="0.3">
      <c r="A13" s="58" t="str">
        <f t="shared" si="0"/>
        <v>Moderado-HOTELARIAS</v>
      </c>
      <c r="B13" s="58" t="s">
        <v>17</v>
      </c>
      <c r="C13" s="59" t="s">
        <v>29</v>
      </c>
      <c r="D13" s="60">
        <v>0.1</v>
      </c>
    </row>
    <row r="14" spans="1:4" x14ac:dyDescent="0.25">
      <c r="A14" t="str">
        <f t="shared" si="0"/>
        <v>Agressivo-PAPEL</v>
      </c>
      <c r="B14" t="s">
        <v>18</v>
      </c>
      <c r="C14" s="52" t="s">
        <v>24</v>
      </c>
      <c r="D14" s="4">
        <v>0.5</v>
      </c>
    </row>
    <row r="15" spans="1:4" x14ac:dyDescent="0.25">
      <c r="A15" t="str">
        <f t="shared" si="0"/>
        <v>Agressivo-TIJOLO</v>
      </c>
      <c r="B15" t="s">
        <v>18</v>
      </c>
      <c r="C15" s="52" t="s">
        <v>25</v>
      </c>
      <c r="D15" s="4">
        <v>0.1</v>
      </c>
    </row>
    <row r="16" spans="1:4" x14ac:dyDescent="0.25">
      <c r="A16" t="str">
        <f t="shared" si="0"/>
        <v>Agressivo-HÍBRIDOS</v>
      </c>
      <c r="B16" t="s">
        <v>18</v>
      </c>
      <c r="C16" s="52" t="s">
        <v>26</v>
      </c>
      <c r="D16" s="4">
        <v>0.05</v>
      </c>
    </row>
    <row r="17" spans="1:4" x14ac:dyDescent="0.25">
      <c r="A17" t="str">
        <f t="shared" si="0"/>
        <v>Agressivo-FOFs</v>
      </c>
      <c r="B17" t="s">
        <v>18</v>
      </c>
      <c r="C17" s="52" t="s">
        <v>27</v>
      </c>
      <c r="D17" s="4">
        <v>0.05</v>
      </c>
    </row>
    <row r="18" spans="1:4" x14ac:dyDescent="0.25">
      <c r="A18" t="str">
        <f t="shared" si="0"/>
        <v>Agressivo-DESENVOLVIMENTO</v>
      </c>
      <c r="B18" t="s">
        <v>18</v>
      </c>
      <c r="C18" s="51" t="s">
        <v>28</v>
      </c>
      <c r="D18" s="4">
        <v>0.2</v>
      </c>
    </row>
    <row r="19" spans="1:4" x14ac:dyDescent="0.25">
      <c r="A19" t="str">
        <f t="shared" si="0"/>
        <v>Agressivo-HOTELARIAS</v>
      </c>
      <c r="B19" t="s">
        <v>18</v>
      </c>
      <c r="C19" s="51" t="s">
        <v>29</v>
      </c>
      <c r="D19" s="4">
        <v>0.1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7</vt:i4>
      </vt:variant>
    </vt:vector>
  </HeadingPairs>
  <TitlesOfParts>
    <vt:vector size="9" baseType="lpstr">
      <vt:lpstr>APP</vt:lpstr>
      <vt:lpstr>APOIO</vt:lpstr>
      <vt:lpstr>aporte</vt:lpstr>
      <vt:lpstr>patrimonio</vt:lpstr>
      <vt:lpstr>qtd_anos</vt:lpstr>
      <vt:lpstr>rendimento_carteira</vt:lpstr>
      <vt:lpstr>salario</vt:lpstr>
      <vt:lpstr>sugestao_investimento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Thamyres Cavalcante</dc:creator>
  <cp:lastModifiedBy>Thamyres Cavalcante</cp:lastModifiedBy>
  <dcterms:created xsi:type="dcterms:W3CDTF">2015-06-05T18:19:34Z</dcterms:created>
  <dcterms:modified xsi:type="dcterms:W3CDTF">2025-12-30T16:19:00Z</dcterms:modified>
</cp:coreProperties>
</file>